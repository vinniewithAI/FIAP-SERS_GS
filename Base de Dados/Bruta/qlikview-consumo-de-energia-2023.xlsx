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stelo\COENP\11 - QlikView DADOS ABERTOS\CSV\"/>
    </mc:Choice>
  </mc:AlternateContent>
  <bookViews>
    <workbookView xWindow="0" yWindow="0" windowWidth="28800" windowHeight="12300"/>
  </bookViews>
  <sheets>
    <sheet name="Energia 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1" l="1"/>
  <c r="N32" i="1"/>
  <c r="M32" i="1"/>
  <c r="L32" i="1"/>
  <c r="K32" i="1"/>
  <c r="J32" i="1"/>
  <c r="I32" i="1"/>
  <c r="H32" i="1"/>
  <c r="G32" i="1"/>
  <c r="F32" i="1"/>
  <c r="E32" i="1"/>
  <c r="D32" i="1"/>
  <c r="Q32" i="1" s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O17" i="1"/>
  <c r="N17" i="1"/>
  <c r="M17" i="1"/>
  <c r="L17" i="1"/>
  <c r="K17" i="1"/>
  <c r="J17" i="1"/>
  <c r="I17" i="1"/>
  <c r="H16" i="1"/>
  <c r="G16" i="1"/>
  <c r="F16" i="1"/>
  <c r="E16" i="1"/>
  <c r="D16" i="1"/>
  <c r="P16" i="1" s="1"/>
  <c r="J15" i="1"/>
  <c r="I15" i="1"/>
  <c r="H15" i="1"/>
  <c r="G15" i="1"/>
  <c r="P15" i="1" s="1"/>
  <c r="F15" i="1"/>
  <c r="E15" i="1"/>
  <c r="D15" i="1"/>
  <c r="I14" i="1"/>
  <c r="H14" i="1"/>
  <c r="G14" i="1"/>
  <c r="F14" i="1"/>
  <c r="E14" i="1"/>
  <c r="D14" i="1"/>
  <c r="P14" i="1" s="1"/>
  <c r="P13" i="1"/>
  <c r="P12" i="1"/>
  <c r="J12" i="1"/>
  <c r="I12" i="1"/>
  <c r="H12" i="1"/>
  <c r="G12" i="1"/>
  <c r="F12" i="1"/>
  <c r="E12" i="1"/>
  <c r="D12" i="1"/>
  <c r="H11" i="1"/>
  <c r="G11" i="1"/>
  <c r="G17" i="1" s="1"/>
  <c r="F11" i="1"/>
  <c r="F17" i="1" s="1"/>
  <c r="E11" i="1"/>
  <c r="P11" i="1" s="1"/>
  <c r="D11" i="1"/>
  <c r="P10" i="1"/>
  <c r="I9" i="1"/>
  <c r="H9" i="1"/>
  <c r="G9" i="1"/>
  <c r="F9" i="1"/>
  <c r="E9" i="1"/>
  <c r="D9" i="1"/>
  <c r="P9" i="1" s="1"/>
  <c r="I8" i="1"/>
  <c r="H8" i="1"/>
  <c r="H17" i="1" s="1"/>
  <c r="G8" i="1"/>
  <c r="F8" i="1"/>
  <c r="E8" i="1"/>
  <c r="D8" i="1"/>
  <c r="I7" i="1"/>
  <c r="H7" i="1"/>
  <c r="G7" i="1"/>
  <c r="F7" i="1"/>
  <c r="E7" i="1"/>
  <c r="D7" i="1"/>
  <c r="D17" i="1" s="1"/>
  <c r="P32" i="1" l="1"/>
  <c r="E17" i="1"/>
  <c r="P17" i="1" s="1"/>
  <c r="P8" i="1"/>
  <c r="P7" i="1"/>
  <c r="Q16" i="1"/>
  <c r="Q15" i="1"/>
  <c r="Q14" i="1"/>
  <c r="Q13" i="1"/>
  <c r="Q12" i="1"/>
  <c r="Q11" i="1"/>
  <c r="Q10" i="1"/>
  <c r="Q9" i="1"/>
  <c r="Q8" i="1"/>
  <c r="Q7" i="1"/>
  <c r="Q17" i="1" l="1"/>
</calcChain>
</file>

<file path=xl/sharedStrings.xml><?xml version="1.0" encoding="utf-8"?>
<sst xmlns="http://schemas.openxmlformats.org/spreadsheetml/2006/main" count="102" uniqueCount="46">
  <si>
    <t>PLANILHA</t>
  </si>
  <si>
    <r>
      <t xml:space="preserve">Consumo de Energia Elétrica, em kWh e R$, da Presidência da República no </t>
    </r>
    <r>
      <rPr>
        <b/>
        <sz val="16"/>
        <color theme="1"/>
        <rFont val="Calibri"/>
        <family val="2"/>
        <scheme val="minor"/>
      </rPr>
      <t>ano de 2023.</t>
    </r>
  </si>
  <si>
    <t>DEPARTAMENTO</t>
  </si>
  <si>
    <t>Coordenação-Geral de Engenharia - COENGE</t>
  </si>
  <si>
    <t>kWh</t>
  </si>
  <si>
    <t>Local</t>
  </si>
  <si>
    <t>Contrato</t>
  </si>
  <si>
    <t>Identificação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</si>
  <si>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</si>
  <si>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</si>
  <si>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</si>
  <si>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</si>
  <si>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</si>
  <si>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</si>
  <si>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</si>
  <si>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</si>
  <si>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</si>
  <si>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</si>
  <si>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</si>
  <si>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</si>
  <si>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</si>
  <si>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Média</t>
  </si>
  <si>
    <t>Pal.Planalto - Instal</t>
  </si>
  <si>
    <t>42/2022</t>
  </si>
  <si>
    <t>1.087.797-5</t>
  </si>
  <si>
    <t>Pal.Planalto - Ar.Condi</t>
  </si>
  <si>
    <t>1.087.798-3</t>
  </si>
  <si>
    <t>Pal.Planalto - Anexos</t>
  </si>
  <si>
    <t>923.928-6</t>
  </si>
  <si>
    <t>Pal.Planalto - Incêndio</t>
  </si>
  <si>
    <t>43/2022</t>
  </si>
  <si>
    <t>1.089.702-x</t>
  </si>
  <si>
    <t>Pal.Planalto - Garagem</t>
  </si>
  <si>
    <t>491.662-x</t>
  </si>
  <si>
    <t>Almoxarifado Central</t>
  </si>
  <si>
    <t>466.456-6</t>
  </si>
  <si>
    <t>Pavilhão das Metas - SNJ</t>
  </si>
  <si>
    <t>1.489.481-5</t>
  </si>
  <si>
    <t>GSI - PR</t>
  </si>
  <si>
    <t>1.297.397-1</t>
  </si>
  <si>
    <t>Pal.Alvorada</t>
  </si>
  <si>
    <t>703.776-7</t>
  </si>
  <si>
    <t>Granja do Torto</t>
  </si>
  <si>
    <t>491.708-1</t>
  </si>
  <si>
    <t>R$</t>
  </si>
  <si>
    <t>Pal.planalto-icêndio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</si>
</sst>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4FC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2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NumberFormat="1"/>
    <xf numFmtId="44" fontId="0" fillId="0" borderId="0" xfId="2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3" fontId="9" fillId="3" borderId="1" xfId="1" applyNumberFormat="1" applyFont="1" applyFill="1" applyBorder="1" applyAlignment="1">
      <alignment horizontal="right"/>
    </xf>
    <xf numFmtId="3" fontId="0" fillId="3" borderId="0" xfId="1" applyNumberFormat="1" applyFont="1" applyFill="1" applyAlignment="1">
      <alignment horizontal="right"/>
    </xf>
    <xf numFmtId="3" fontId="10" fillId="3" borderId="1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0" fillId="4" borderId="0" xfId="0" applyNumberFormat="1" applyFill="1"/>
    <xf numFmtId="0" fontId="0" fillId="4" borderId="0" xfId="0" applyFill="1"/>
    <xf numFmtId="3" fontId="2" fillId="2" borderId="1" xfId="1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/>
    </xf>
    <xf numFmtId="43" fontId="9" fillId="6" borderId="1" xfId="1" applyFont="1" applyFill="1" applyBorder="1" applyAlignment="1">
      <alignment horizontal="right" vertical="center"/>
    </xf>
    <xf numFmtId="43" fontId="11" fillId="6" borderId="1" xfId="1" applyFont="1" applyFill="1" applyBorder="1" applyAlignment="1">
      <alignment horizontal="right" vertical="center"/>
    </xf>
    <xf numFmtId="43" fontId="10" fillId="6" borderId="1" xfId="1" applyFont="1" applyFill="1" applyBorder="1" applyAlignment="1">
      <alignment horizontal="right" vertical="center"/>
    </xf>
    <xf numFmtId="43" fontId="3" fillId="5" borderId="1" xfId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/>
    </xf>
    <xf numFmtId="43" fontId="11" fillId="5" borderId="1" xfId="1" applyFont="1" applyFill="1" applyBorder="1" applyAlignment="1">
      <alignment horizontal="right" vertical="center"/>
    </xf>
    <xf numFmtId="43" fontId="9" fillId="5" borderId="1" xfId="1" applyFont="1" applyFill="1" applyBorder="1" applyAlignment="1">
      <alignment horizontal="right" vertical="center"/>
    </xf>
    <xf numFmtId="43" fontId="10" fillId="5" borderId="1" xfId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1485900</xdr:colOff>
      <xdr:row>0</xdr:row>
      <xdr:rowOff>1539881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333500" cy="1425581"/>
        </a:xfrm>
        <a:prstGeom prst="rect">
          <a:avLst/>
        </a:prstGeom>
      </xdr:spPr>
    </xdr:pic>
    <xdr:clientData/>
  </xdr:twoCellAnchor>
  <xdr:twoCellAnchor>
    <xdr:from>
      <xdr:col>0</xdr:col>
      <xdr:colOff>1447800</xdr:colOff>
      <xdr:row>0</xdr:row>
      <xdr:rowOff>161924</xdr:rowOff>
    </xdr:from>
    <xdr:to>
      <xdr:col>2</xdr:col>
      <xdr:colOff>314325</xdr:colOff>
      <xdr:row>0</xdr:row>
      <xdr:rowOff>1533525</xdr:rowOff>
    </xdr:to>
    <xdr:sp macro="" textlink="">
      <xdr:nvSpPr>
        <xdr:cNvPr id="3" name="CaixaDeTexto 2"/>
        <xdr:cNvSpPr txBox="1"/>
      </xdr:nvSpPr>
      <xdr:spPr>
        <a:xfrm>
          <a:off x="1447800" y="161924"/>
          <a:ext cx="3076575" cy="1371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PRESIDÊNCIA DA REPÚBLICA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Civil</a:t>
          </a:r>
          <a:endParaRPr lang="pt-BR" sz="1200">
            <a:effectLst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Secretaria-Executiva da Casa Civil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Secretaria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Administração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Diretoria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Engenharia e Patrimônio</a:t>
          </a:r>
          <a:endParaRPr lang="pt-BR" sz="1200">
            <a:effectLst/>
          </a:endParaRP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Coordenação-Geral de Engenharia</a:t>
          </a:r>
          <a:endParaRPr lang="pt-BR" sz="1200">
            <a:effectLst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Divisão de Planejamento d Gestão de Ativos</a:t>
          </a:r>
          <a:endParaRPr lang="pt-BR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showGridLines="0" tabSelected="1" topLeftCell="A4" zoomScaleNormal="100" workbookViewId="0">
      <selection activeCell="M39" sqref="M39"/>
    </sheetView>
  </sheetViews>
  <sheetFormatPr defaultRowHeight="15" x14ac:dyDescent="0.25"/>
  <cols>
    <col min="1" max="1" width="54" customWidth="1"/>
    <col min="3" max="3" width="12.42578125" bestFit="1" customWidth="1"/>
    <col min="4" max="4" width="11.5703125" bestFit="1" customWidth="1"/>
    <col min="5" max="5" width="11.85546875" bestFit="1" customWidth="1"/>
    <col min="6" max="6" width="14" bestFit="1" customWidth="1"/>
    <col min="7" max="7" width="11.5703125" bestFit="1" customWidth="1"/>
    <col min="8" max="8" width="11.7109375" customWidth="1"/>
    <col min="9" max="9" width="13.28515625" bestFit="1" customWidth="1"/>
    <col min="10" max="10" width="11.5703125" bestFit="1" customWidth="1"/>
    <col min="11" max="11" width="12.140625" customWidth="1"/>
    <col min="12" max="12" width="11.5703125" bestFit="1" customWidth="1"/>
    <col min="13" max="13" width="14.7109375" customWidth="1"/>
    <col min="14" max="14" width="14" customWidth="1"/>
    <col min="15" max="15" width="12" customWidth="1"/>
    <col min="16" max="16" width="17.28515625" customWidth="1"/>
    <col min="17" max="17" width="24.7109375" customWidth="1"/>
  </cols>
  <sheetData>
    <row r="1" spans="1:18" ht="126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8" ht="21.75" customHeight="1" x14ac:dyDescent="0.25">
      <c r="A2" s="34" t="s">
        <v>0</v>
      </c>
      <c r="B2" s="35"/>
      <c r="C2" s="36" t="s">
        <v>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8" ht="20.25" customHeight="1" x14ac:dyDescent="0.25">
      <c r="A3" s="34" t="s">
        <v>2</v>
      </c>
      <c r="B3" s="35"/>
      <c r="C3" s="36" t="s">
        <v>3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8" x14ac:dyDescent="0.25">
      <c r="D4" s="1"/>
      <c r="G4" s="2"/>
    </row>
    <row r="5" spans="1:18" ht="33" customHeight="1" x14ac:dyDescent="0.25">
      <c r="B5" s="3"/>
      <c r="C5" s="3"/>
      <c r="D5" s="37" t="s">
        <v>4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8" x14ac:dyDescent="0.25">
      <c r="A6" s="4" t="s">
        <v>5</v>
      </c>
      <c r="B6" s="4" t="s">
        <v>6</v>
      </c>
      <c r="C6" s="5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5" t="s">
        <v>20</v>
      </c>
      <c r="Q6" s="5" t="s">
        <v>21</v>
      </c>
    </row>
    <row r="7" spans="1:18" x14ac:dyDescent="0.25">
      <c r="A7" s="7" t="s">
        <v>22</v>
      </c>
      <c r="B7" s="7" t="s">
        <v>23</v>
      </c>
      <c r="C7" s="8" t="s">
        <v>24</v>
      </c>
      <c r="D7" s="9">
        <f>SUM(17309+166219)</f>
        <v>183528</v>
      </c>
      <c r="E7" s="9">
        <f>22970+189333</f>
        <v>212303</v>
      </c>
      <c r="F7" s="9">
        <f>20790+170769</f>
        <v>191559</v>
      </c>
      <c r="G7" s="9">
        <f>24267+194869</f>
        <v>219136</v>
      </c>
      <c r="H7" s="9">
        <f>19645+181223</f>
        <v>200868</v>
      </c>
      <c r="I7" s="10">
        <f>22659+189047</f>
        <v>211706</v>
      </c>
      <c r="J7" s="9">
        <v>202439</v>
      </c>
      <c r="K7" s="9">
        <v>202330</v>
      </c>
      <c r="L7" s="9">
        <v>213290</v>
      </c>
      <c r="M7" s="11">
        <v>215194</v>
      </c>
      <c r="N7" s="11">
        <v>224614</v>
      </c>
      <c r="O7" s="11">
        <v>227124</v>
      </c>
      <c r="P7" s="12">
        <f t="shared" ref="P7:P17" si="0">SUM(D7:O7)</f>
        <v>2504091</v>
      </c>
      <c r="Q7" s="12">
        <f>AVERAGE(D7:O7)</f>
        <v>208674.25</v>
      </c>
    </row>
    <row r="8" spans="1:18" x14ac:dyDescent="0.25">
      <c r="A8" s="7" t="s">
        <v>25</v>
      </c>
      <c r="B8" s="7" t="s">
        <v>23</v>
      </c>
      <c r="C8" s="8" t="s">
        <v>26</v>
      </c>
      <c r="D8" s="9">
        <f>8500+60771</f>
        <v>69271</v>
      </c>
      <c r="E8" s="9">
        <f>12312+78095</f>
        <v>90407</v>
      </c>
      <c r="F8" s="9">
        <f>11976+72969</f>
        <v>84945</v>
      </c>
      <c r="G8" s="9">
        <f>13989+88487</f>
        <v>102476</v>
      </c>
      <c r="H8" s="9">
        <f>10375+71959</f>
        <v>82334</v>
      </c>
      <c r="I8" s="9">
        <f>10597+70165</f>
        <v>80762</v>
      </c>
      <c r="J8" s="11">
        <v>64183</v>
      </c>
      <c r="K8" s="11">
        <v>64485</v>
      </c>
      <c r="L8" s="11">
        <v>79143</v>
      </c>
      <c r="M8" s="11">
        <v>89584</v>
      </c>
      <c r="N8" s="11">
        <v>103295</v>
      </c>
      <c r="O8" s="11">
        <v>102827</v>
      </c>
      <c r="P8" s="12">
        <f t="shared" si="0"/>
        <v>1013712</v>
      </c>
      <c r="Q8" s="12">
        <f>AVERAGE(D8:O8)</f>
        <v>84476</v>
      </c>
    </row>
    <row r="9" spans="1:18" s="14" customFormat="1" x14ac:dyDescent="0.25">
      <c r="A9" s="7" t="s">
        <v>27</v>
      </c>
      <c r="B9" s="7" t="s">
        <v>23</v>
      </c>
      <c r="C9" s="8" t="s">
        <v>28</v>
      </c>
      <c r="D9" s="11">
        <f>23554+287660</f>
        <v>311214</v>
      </c>
      <c r="E9" s="11">
        <f>26936+310111</f>
        <v>337047</v>
      </c>
      <c r="F9" s="11">
        <f>30592+272284</f>
        <v>302876</v>
      </c>
      <c r="G9" s="11">
        <f>35156+321896</f>
        <v>357052</v>
      </c>
      <c r="H9" s="11">
        <f>SUM(26489+271716)</f>
        <v>298205</v>
      </c>
      <c r="I9" s="11">
        <f>269747.47+269722.52</f>
        <v>539469.99</v>
      </c>
      <c r="J9" s="11">
        <v>269696</v>
      </c>
      <c r="K9" s="11">
        <v>244056</v>
      </c>
      <c r="L9" s="11">
        <v>297273</v>
      </c>
      <c r="M9" s="11">
        <v>328864</v>
      </c>
      <c r="N9" s="11">
        <v>354563</v>
      </c>
      <c r="O9" s="11">
        <v>361420</v>
      </c>
      <c r="P9" s="12">
        <f t="shared" si="0"/>
        <v>4001735.99</v>
      </c>
      <c r="Q9" s="12">
        <f>AVERAGE(D9:O9)</f>
        <v>333477.9991666667</v>
      </c>
      <c r="R9" s="13"/>
    </row>
    <row r="10" spans="1:18" s="14" customFormat="1" x14ac:dyDescent="0.25">
      <c r="A10" s="7" t="s">
        <v>29</v>
      </c>
      <c r="B10" s="7" t="s">
        <v>30</v>
      </c>
      <c r="C10" s="8" t="s">
        <v>31</v>
      </c>
      <c r="D10" s="9">
        <v>100</v>
      </c>
      <c r="E10" s="9">
        <v>240</v>
      </c>
      <c r="F10" s="9">
        <v>120</v>
      </c>
      <c r="G10" s="9">
        <v>100</v>
      </c>
      <c r="H10" s="9">
        <v>120</v>
      </c>
      <c r="I10" s="9">
        <v>100</v>
      </c>
      <c r="J10" s="11">
        <v>100</v>
      </c>
      <c r="K10" s="11">
        <v>100</v>
      </c>
      <c r="L10" s="11">
        <v>100</v>
      </c>
      <c r="M10" s="11">
        <v>100</v>
      </c>
      <c r="N10" s="11">
        <v>100</v>
      </c>
      <c r="O10" s="11">
        <v>100</v>
      </c>
      <c r="P10" s="12">
        <f t="shared" si="0"/>
        <v>1380</v>
      </c>
      <c r="Q10" s="12">
        <f t="shared" ref="Q10:Q16" si="1">AVERAGE(D10:O10)</f>
        <v>115</v>
      </c>
    </row>
    <row r="11" spans="1:18" s="14" customFormat="1" x14ac:dyDescent="0.25">
      <c r="A11" s="7" t="s">
        <v>32</v>
      </c>
      <c r="B11" s="7" t="s">
        <v>23</v>
      </c>
      <c r="C11" s="8" t="s">
        <v>33</v>
      </c>
      <c r="D11" s="9">
        <f>SUM(3543+30101)</f>
        <v>33644</v>
      </c>
      <c r="E11" s="9">
        <f>3613+34284</f>
        <v>37897</v>
      </c>
      <c r="F11" s="9">
        <f>3726+35265</f>
        <v>38991</v>
      </c>
      <c r="G11" s="9">
        <f>3841+35650</f>
        <v>39491</v>
      </c>
      <c r="H11" s="9">
        <f>2964+30780</f>
        <v>33744</v>
      </c>
      <c r="I11" s="9">
        <v>33951</v>
      </c>
      <c r="J11" s="11">
        <v>30309</v>
      </c>
      <c r="K11" s="11">
        <v>31555</v>
      </c>
      <c r="L11" s="9">
        <v>34980</v>
      </c>
      <c r="M11" s="11">
        <v>43678</v>
      </c>
      <c r="N11" s="11">
        <v>48837</v>
      </c>
      <c r="O11" s="11">
        <v>46948</v>
      </c>
      <c r="P11" s="12">
        <f t="shared" si="0"/>
        <v>454025</v>
      </c>
      <c r="Q11" s="12">
        <f t="shared" si="1"/>
        <v>37835.416666666664</v>
      </c>
    </row>
    <row r="12" spans="1:18" s="14" customFormat="1" ht="15.75" customHeight="1" x14ac:dyDescent="0.25">
      <c r="A12" s="7" t="s">
        <v>34</v>
      </c>
      <c r="B12" s="7" t="s">
        <v>23</v>
      </c>
      <c r="C12" s="8" t="s">
        <v>35</v>
      </c>
      <c r="D12" s="9">
        <f>1190+14375</f>
        <v>15565</v>
      </c>
      <c r="E12" s="9">
        <f>1386+16655</f>
        <v>18041</v>
      </c>
      <c r="F12" s="9">
        <f>1704+18767</f>
        <v>20471</v>
      </c>
      <c r="G12" s="9">
        <f>1438+19056</f>
        <v>20494</v>
      </c>
      <c r="H12" s="9">
        <f>1278+15318</f>
        <v>16596</v>
      </c>
      <c r="I12" s="9">
        <f>1625+15724</f>
        <v>17349</v>
      </c>
      <c r="J12" s="9">
        <f>1183+12415</f>
        <v>13598</v>
      </c>
      <c r="K12" s="9">
        <v>12755</v>
      </c>
      <c r="L12" s="9">
        <v>16622</v>
      </c>
      <c r="M12" s="11">
        <v>22622</v>
      </c>
      <c r="N12" s="11">
        <v>25207</v>
      </c>
      <c r="O12" s="11">
        <v>25306</v>
      </c>
      <c r="P12" s="12">
        <f t="shared" si="0"/>
        <v>224626</v>
      </c>
      <c r="Q12" s="12">
        <f t="shared" si="1"/>
        <v>18718.833333333332</v>
      </c>
    </row>
    <row r="13" spans="1:18" s="14" customFormat="1" x14ac:dyDescent="0.25">
      <c r="A13" s="7" t="s">
        <v>36</v>
      </c>
      <c r="B13" s="7" t="s">
        <v>30</v>
      </c>
      <c r="C13" s="8" t="s">
        <v>37</v>
      </c>
      <c r="D13" s="9">
        <v>12640</v>
      </c>
      <c r="E13" s="9">
        <v>15200</v>
      </c>
      <c r="F13" s="9">
        <v>17680</v>
      </c>
      <c r="G13" s="9">
        <v>15280</v>
      </c>
      <c r="H13" s="9">
        <v>13284</v>
      </c>
      <c r="I13" s="9">
        <v>15908</v>
      </c>
      <c r="J13" s="9">
        <v>12792</v>
      </c>
      <c r="K13" s="11">
        <v>13448</v>
      </c>
      <c r="L13" s="9">
        <v>16400</v>
      </c>
      <c r="M13" s="9">
        <v>18860</v>
      </c>
      <c r="N13" s="9">
        <v>21484</v>
      </c>
      <c r="O13" s="9">
        <v>21402</v>
      </c>
      <c r="P13" s="12">
        <f t="shared" si="0"/>
        <v>194378</v>
      </c>
      <c r="Q13" s="12">
        <f t="shared" si="1"/>
        <v>16198.166666666666</v>
      </c>
    </row>
    <row r="14" spans="1:18" s="14" customFormat="1" x14ac:dyDescent="0.25">
      <c r="A14" s="7" t="s">
        <v>38</v>
      </c>
      <c r="B14" s="7" t="s">
        <v>23</v>
      </c>
      <c r="C14" s="8" t="s">
        <v>39</v>
      </c>
      <c r="D14" s="9">
        <f>5658+52238</f>
        <v>57896</v>
      </c>
      <c r="E14" s="9">
        <f>6284+60620</f>
        <v>66904</v>
      </c>
      <c r="F14" s="9">
        <f>6373+58139</f>
        <v>64512</v>
      </c>
      <c r="G14" s="9">
        <f>6301+60785</f>
        <v>67086</v>
      </c>
      <c r="H14" s="9">
        <f>5008+51940</f>
        <v>56948</v>
      </c>
      <c r="I14" s="9">
        <f>5784+50658</f>
        <v>56442</v>
      </c>
      <c r="J14" s="11">
        <v>47609</v>
      </c>
      <c r="K14" s="11">
        <v>49625</v>
      </c>
      <c r="L14" s="11">
        <v>60603</v>
      </c>
      <c r="M14" s="11">
        <v>78210</v>
      </c>
      <c r="N14" s="11">
        <v>83589</v>
      </c>
      <c r="O14" s="11">
        <v>80821</v>
      </c>
      <c r="P14" s="12">
        <f t="shared" si="0"/>
        <v>770245</v>
      </c>
      <c r="Q14" s="12">
        <f t="shared" si="1"/>
        <v>64187.083333333336</v>
      </c>
    </row>
    <row r="15" spans="1:18" s="14" customFormat="1" ht="14.25" customHeight="1" x14ac:dyDescent="0.25">
      <c r="A15" s="7" t="s">
        <v>40</v>
      </c>
      <c r="B15" s="7" t="s">
        <v>23</v>
      </c>
      <c r="C15" s="8" t="s">
        <v>41</v>
      </c>
      <c r="D15" s="9">
        <f>10220+97062</f>
        <v>107282</v>
      </c>
      <c r="E15" s="9">
        <f>5993+68386</f>
        <v>74379</v>
      </c>
      <c r="F15" s="9">
        <f>9517+93795</f>
        <v>103312</v>
      </c>
      <c r="G15" s="9">
        <f>12220+107169</f>
        <v>119389</v>
      </c>
      <c r="H15" s="9">
        <f>8848+91264</f>
        <v>100112</v>
      </c>
      <c r="I15" s="9">
        <f>11062+101333</f>
        <v>112395</v>
      </c>
      <c r="J15" s="9">
        <f>10140+97273</f>
        <v>107413</v>
      </c>
      <c r="K15" s="11">
        <v>122176</v>
      </c>
      <c r="L15" s="11">
        <v>117483</v>
      </c>
      <c r="M15" s="11">
        <v>115942</v>
      </c>
      <c r="N15" s="11">
        <v>141999</v>
      </c>
      <c r="O15" s="11">
        <v>136156</v>
      </c>
      <c r="P15" s="12">
        <f t="shared" si="0"/>
        <v>1358038</v>
      </c>
      <c r="Q15" s="12">
        <f t="shared" si="1"/>
        <v>113169.83333333333</v>
      </c>
    </row>
    <row r="16" spans="1:18" s="14" customFormat="1" x14ac:dyDescent="0.25">
      <c r="A16" s="7" t="s">
        <v>42</v>
      </c>
      <c r="B16" s="7" t="s">
        <v>23</v>
      </c>
      <c r="C16" s="8" t="s">
        <v>43</v>
      </c>
      <c r="D16" s="9">
        <f>2803+25747</f>
        <v>28550</v>
      </c>
      <c r="E16" s="9">
        <f>1929+17900</f>
        <v>19829</v>
      </c>
      <c r="F16" s="9">
        <f>2247+22796</f>
        <v>25043</v>
      </c>
      <c r="G16" s="9">
        <f>2544+21854</f>
        <v>24398</v>
      </c>
      <c r="H16" s="9">
        <f>2007+20596</f>
        <v>22603</v>
      </c>
      <c r="I16" s="9">
        <v>20231</v>
      </c>
      <c r="J16" s="9">
        <v>25843</v>
      </c>
      <c r="K16" s="11">
        <v>25958</v>
      </c>
      <c r="L16" s="11">
        <v>26442</v>
      </c>
      <c r="M16" s="11">
        <v>29299</v>
      </c>
      <c r="N16" s="11">
        <v>28654</v>
      </c>
      <c r="O16" s="11">
        <v>28300</v>
      </c>
      <c r="P16" s="12">
        <f t="shared" si="0"/>
        <v>305150</v>
      </c>
      <c r="Q16" s="12">
        <f t="shared" si="1"/>
        <v>25429.166666666668</v>
      </c>
    </row>
    <row r="17" spans="1:17" x14ac:dyDescent="0.25">
      <c r="A17" s="29" t="s">
        <v>20</v>
      </c>
      <c r="B17" s="30"/>
      <c r="C17" s="31"/>
      <c r="D17" s="15">
        <f>SUM(D7:D16)</f>
        <v>819690</v>
      </c>
      <c r="E17" s="15">
        <f>SUM(E7:E16)</f>
        <v>872247</v>
      </c>
      <c r="F17" s="15">
        <f t="shared" ref="F17:N17" si="2">SUM(F7:F16)</f>
        <v>849509</v>
      </c>
      <c r="G17" s="15">
        <f t="shared" si="2"/>
        <v>964902</v>
      </c>
      <c r="H17" s="15">
        <f t="shared" si="2"/>
        <v>824814</v>
      </c>
      <c r="I17" s="15">
        <f>SUM(I7:I16)</f>
        <v>1088313.99</v>
      </c>
      <c r="J17" s="15">
        <f>SUM(J7:J16)</f>
        <v>773982</v>
      </c>
      <c r="K17" s="15">
        <f t="shared" si="2"/>
        <v>766488</v>
      </c>
      <c r="L17" s="15">
        <f t="shared" si="2"/>
        <v>862336</v>
      </c>
      <c r="M17" s="15">
        <f>SUM(M7:M16)</f>
        <v>942353</v>
      </c>
      <c r="N17" s="15">
        <f t="shared" si="2"/>
        <v>1032342</v>
      </c>
      <c r="O17" s="15">
        <f>SUM(O7:O16)</f>
        <v>1030404</v>
      </c>
      <c r="P17" s="15">
        <f t="shared" si="0"/>
        <v>10827380.99</v>
      </c>
      <c r="Q17" s="15">
        <f>AVERAGE(D17:O17)</f>
        <v>902281.74916666665</v>
      </c>
    </row>
    <row r="18" spans="1:17" x14ac:dyDescent="0.25">
      <c r="D18" s="1"/>
      <c r="G18" s="2"/>
    </row>
    <row r="19" spans="1:17" x14ac:dyDescent="0.25">
      <c r="D19" s="1"/>
      <c r="G19" s="2"/>
    </row>
    <row r="20" spans="1:17" ht="21" x14ac:dyDescent="0.35">
      <c r="D20" s="32" t="s">
        <v>44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x14ac:dyDescent="0.25">
      <c r="A21" s="4" t="s">
        <v>5</v>
      </c>
      <c r="B21" s="4" t="s">
        <v>6</v>
      </c>
      <c r="C21" s="5" t="s">
        <v>7</v>
      </c>
      <c r="D21" s="6" t="s">
        <v>8</v>
      </c>
      <c r="E21" s="6" t="s">
        <v>9</v>
      </c>
      <c r="F21" s="6" t="s">
        <v>10</v>
      </c>
      <c r="G21" s="6" t="s">
        <v>11</v>
      </c>
      <c r="H21" s="6" t="s">
        <v>12</v>
      </c>
      <c r="I21" s="6" t="s">
        <v>13</v>
      </c>
      <c r="J21" s="6" t="s">
        <v>14</v>
      </c>
      <c r="K21" s="6" t="s">
        <v>15</v>
      </c>
      <c r="L21" s="6" t="s">
        <v>16</v>
      </c>
      <c r="M21" s="6" t="s">
        <v>17</v>
      </c>
      <c r="N21" s="6" t="s">
        <v>18</v>
      </c>
      <c r="O21" s="6" t="s">
        <v>19</v>
      </c>
      <c r="P21" s="5" t="s">
        <v>20</v>
      </c>
      <c r="Q21" s="5" t="s">
        <v>21</v>
      </c>
    </row>
    <row r="22" spans="1:17" s="14" customFormat="1" ht="14.25" customHeight="1" x14ac:dyDescent="0.25">
      <c r="A22" s="16" t="s">
        <v>22</v>
      </c>
      <c r="B22" s="16" t="s">
        <v>23</v>
      </c>
      <c r="C22" s="17" t="s">
        <v>24</v>
      </c>
      <c r="D22" s="18">
        <v>151049.81</v>
      </c>
      <c r="E22" s="18">
        <v>177779.04</v>
      </c>
      <c r="F22" s="18">
        <v>175216.85</v>
      </c>
      <c r="G22" s="18">
        <v>194815.94</v>
      </c>
      <c r="H22" s="18">
        <v>179202.32</v>
      </c>
      <c r="I22" s="18">
        <v>192844.13</v>
      </c>
      <c r="J22" s="18">
        <v>185423.52</v>
      </c>
      <c r="K22" s="18">
        <v>180833.41</v>
      </c>
      <c r="L22" s="19">
        <v>195070.26</v>
      </c>
      <c r="M22" s="20">
        <v>198945.97</v>
      </c>
      <c r="N22" s="20">
        <v>206775.99</v>
      </c>
      <c r="O22" s="20">
        <v>224964.87</v>
      </c>
      <c r="P22" s="21">
        <f>SUM(D22:O22)</f>
        <v>2262922.11</v>
      </c>
      <c r="Q22" s="21">
        <f>AVERAGE(D22:O22)</f>
        <v>188576.8425</v>
      </c>
    </row>
    <row r="23" spans="1:17" x14ac:dyDescent="0.25">
      <c r="A23" s="16" t="s">
        <v>25</v>
      </c>
      <c r="B23" s="22" t="s">
        <v>23</v>
      </c>
      <c r="C23" s="23" t="s">
        <v>26</v>
      </c>
      <c r="D23" s="18">
        <v>62568.58</v>
      </c>
      <c r="E23" s="18">
        <v>81774.91</v>
      </c>
      <c r="F23" s="18">
        <v>84528.42</v>
      </c>
      <c r="G23" s="18">
        <v>97360.37</v>
      </c>
      <c r="H23" s="18">
        <v>79708.45</v>
      </c>
      <c r="I23" s="18">
        <v>79378.3</v>
      </c>
      <c r="J23" s="18">
        <v>65430.13</v>
      </c>
      <c r="K23" s="20">
        <v>64619.74</v>
      </c>
      <c r="L23" s="19">
        <v>78484.22</v>
      </c>
      <c r="M23" s="20">
        <v>89581.9</v>
      </c>
      <c r="N23" s="20">
        <v>102938.74</v>
      </c>
      <c r="O23" s="20">
        <v>109761.27</v>
      </c>
      <c r="P23" s="21">
        <f>SUM(D23:O23)</f>
        <v>996135.02999999991</v>
      </c>
      <c r="Q23" s="21">
        <f t="shared" ref="Q23:Q29" si="3">AVERAGE(D23:O23)</f>
        <v>83011.252499999988</v>
      </c>
    </row>
    <row r="24" spans="1:17" s="14" customFormat="1" x14ac:dyDescent="0.25">
      <c r="A24" s="16" t="s">
        <v>27</v>
      </c>
      <c r="B24" s="16" t="s">
        <v>23</v>
      </c>
      <c r="C24" s="17" t="s">
        <v>28</v>
      </c>
      <c r="D24" s="24">
        <v>251074.31</v>
      </c>
      <c r="E24" s="24">
        <v>271367.09000000003</v>
      </c>
      <c r="F24" s="24">
        <v>278566.98</v>
      </c>
      <c r="G24" s="24">
        <v>314805.01</v>
      </c>
      <c r="H24" s="24">
        <v>267458.31</v>
      </c>
      <c r="I24" s="18">
        <v>269747.46999999997</v>
      </c>
      <c r="J24" s="18">
        <v>250109.25</v>
      </c>
      <c r="K24" s="20">
        <v>244495.43</v>
      </c>
      <c r="L24" s="19">
        <v>273611.90999999997</v>
      </c>
      <c r="M24" s="20">
        <v>304871.64</v>
      </c>
      <c r="N24" s="20">
        <v>331634.74</v>
      </c>
      <c r="O24" s="20">
        <v>358727.1</v>
      </c>
      <c r="P24" s="21">
        <f>SUM(D24:O24)</f>
        <v>3416469.2400000007</v>
      </c>
      <c r="Q24" s="21">
        <f t="shared" si="3"/>
        <v>284705.77000000008</v>
      </c>
    </row>
    <row r="25" spans="1:17" ht="14.25" customHeight="1" x14ac:dyDescent="0.25">
      <c r="A25" s="16" t="s">
        <v>45</v>
      </c>
      <c r="B25" s="22" t="s">
        <v>30</v>
      </c>
      <c r="C25" s="17" t="s">
        <v>31</v>
      </c>
      <c r="D25" s="25">
        <v>85.91</v>
      </c>
      <c r="E25" s="25">
        <v>217.31</v>
      </c>
      <c r="F25" s="25">
        <v>92.96</v>
      </c>
      <c r="G25" s="25">
        <v>83.71</v>
      </c>
      <c r="H25" s="25">
        <v>102.08</v>
      </c>
      <c r="I25" s="25">
        <v>85.98</v>
      </c>
      <c r="J25" s="25">
        <v>86.8</v>
      </c>
      <c r="K25" s="26">
        <v>84.93</v>
      </c>
      <c r="L25" s="24">
        <v>85.83</v>
      </c>
      <c r="M25" s="26">
        <v>87.28</v>
      </c>
      <c r="N25" s="26">
        <v>89.28</v>
      </c>
      <c r="O25" s="26">
        <v>94.35</v>
      </c>
      <c r="P25" s="21">
        <f>SUM(D25:O25)</f>
        <v>1196.42</v>
      </c>
      <c r="Q25" s="21">
        <f>AVERAGE(D25:O25)</f>
        <v>99.701666666666668</v>
      </c>
    </row>
    <row r="26" spans="1:17" x14ac:dyDescent="0.25">
      <c r="A26" s="16" t="s">
        <v>32</v>
      </c>
      <c r="B26" s="22" t="s">
        <v>23</v>
      </c>
      <c r="C26" s="17" t="s">
        <v>33</v>
      </c>
      <c r="D26" s="18">
        <v>24989.93</v>
      </c>
      <c r="E26" s="18">
        <v>27404.47</v>
      </c>
      <c r="F26" s="18">
        <v>31025.29</v>
      </c>
      <c r="G26" s="18">
        <v>30499.94</v>
      </c>
      <c r="H26" s="18">
        <v>26452.720000000001</v>
      </c>
      <c r="I26" s="18">
        <v>30559</v>
      </c>
      <c r="J26" s="18">
        <v>25070.27</v>
      </c>
      <c r="K26" s="20">
        <v>25081.58</v>
      </c>
      <c r="L26" s="19">
        <v>27971.040000000001</v>
      </c>
      <c r="M26" s="20">
        <v>35209.01</v>
      </c>
      <c r="N26" s="20">
        <v>39225.480000000003</v>
      </c>
      <c r="O26" s="20">
        <v>41022.559999999998</v>
      </c>
      <c r="P26" s="21">
        <f>SUM(D26:O26)</f>
        <v>364511.29</v>
      </c>
      <c r="Q26" s="21">
        <f t="shared" si="3"/>
        <v>30375.94083333333</v>
      </c>
    </row>
    <row r="27" spans="1:17" s="14" customFormat="1" ht="13.5" customHeight="1" x14ac:dyDescent="0.25">
      <c r="A27" s="16" t="s">
        <v>34</v>
      </c>
      <c r="B27" s="22" t="s">
        <v>23</v>
      </c>
      <c r="C27" s="17" t="s">
        <v>35</v>
      </c>
      <c r="D27" s="18">
        <v>12245.59</v>
      </c>
      <c r="E27" s="18">
        <v>13811.3</v>
      </c>
      <c r="F27" s="18">
        <v>17460.59</v>
      </c>
      <c r="G27" s="18">
        <v>16175.36</v>
      </c>
      <c r="H27" s="18">
        <v>13914.18</v>
      </c>
      <c r="I27" s="18">
        <v>14793.57</v>
      </c>
      <c r="J27" s="18">
        <v>12201.37</v>
      </c>
      <c r="K27" s="20">
        <v>11322.56</v>
      </c>
      <c r="L27" s="19">
        <v>14195.7</v>
      </c>
      <c r="M27" s="20">
        <v>19012.439999999999</v>
      </c>
      <c r="N27" s="20">
        <v>21246.66</v>
      </c>
      <c r="O27" s="20">
        <v>23564.23</v>
      </c>
      <c r="P27" s="21">
        <f t="shared" ref="P27" si="4">SUM(D27:O27)</f>
        <v>189943.55</v>
      </c>
      <c r="Q27" s="21">
        <f t="shared" si="3"/>
        <v>15828.629166666666</v>
      </c>
    </row>
    <row r="28" spans="1:17" s="14" customFormat="1" x14ac:dyDescent="0.25">
      <c r="A28" s="16" t="s">
        <v>36</v>
      </c>
      <c r="B28" s="22" t="s">
        <v>30</v>
      </c>
      <c r="C28" s="17" t="s">
        <v>37</v>
      </c>
      <c r="D28" s="20">
        <v>12178.65</v>
      </c>
      <c r="E28" s="20">
        <v>14510.44</v>
      </c>
      <c r="F28" s="20">
        <v>15287.62</v>
      </c>
      <c r="G28" s="20">
        <v>12986.87</v>
      </c>
      <c r="H28" s="20">
        <v>12731.7</v>
      </c>
      <c r="I28" s="20">
        <v>15129.47</v>
      </c>
      <c r="J28" s="20">
        <v>12473.79</v>
      </c>
      <c r="K28" s="20">
        <v>12773.59</v>
      </c>
      <c r="L28" s="19">
        <v>15540.13</v>
      </c>
      <c r="M28" s="20">
        <v>18044.55</v>
      </c>
      <c r="N28" s="20">
        <v>20849.88</v>
      </c>
      <c r="O28" s="20">
        <v>21961.02</v>
      </c>
      <c r="P28" s="21">
        <f>SUM(D28:O28)</f>
        <v>184467.71</v>
      </c>
      <c r="Q28" s="21">
        <f t="shared" si="3"/>
        <v>15372.309166666666</v>
      </c>
    </row>
    <row r="29" spans="1:17" x14ac:dyDescent="0.25">
      <c r="A29" s="16" t="s">
        <v>38</v>
      </c>
      <c r="B29" s="22" t="s">
        <v>23</v>
      </c>
      <c r="C29" s="17" t="s">
        <v>39</v>
      </c>
      <c r="D29" s="18">
        <v>42091.96</v>
      </c>
      <c r="E29" s="18">
        <v>47846.86</v>
      </c>
      <c r="F29" s="18">
        <v>51987.34</v>
      </c>
      <c r="G29" s="18">
        <v>52070.79</v>
      </c>
      <c r="H29" s="18">
        <v>44179.49</v>
      </c>
      <c r="I29" s="18">
        <v>44847.71</v>
      </c>
      <c r="J29" s="18">
        <v>38798.74</v>
      </c>
      <c r="K29" s="20">
        <v>39068.03</v>
      </c>
      <c r="L29" s="19">
        <v>47689.21</v>
      </c>
      <c r="M29" s="20">
        <v>62740.72</v>
      </c>
      <c r="N29" s="20">
        <v>66111.839999999997</v>
      </c>
      <c r="O29" s="20">
        <v>68919.11</v>
      </c>
      <c r="P29" s="21">
        <f>SUM(D29:O29)</f>
        <v>606351.80000000005</v>
      </c>
      <c r="Q29" s="21">
        <f t="shared" si="3"/>
        <v>50529.316666666673</v>
      </c>
    </row>
    <row r="30" spans="1:17" ht="15.75" customHeight="1" x14ac:dyDescent="0.25">
      <c r="A30" s="16" t="s">
        <v>40</v>
      </c>
      <c r="B30" s="22" t="s">
        <v>23</v>
      </c>
      <c r="C30" s="17" t="s">
        <v>41</v>
      </c>
      <c r="D30" s="18">
        <v>82736.2</v>
      </c>
      <c r="E30" s="18">
        <v>60935.16</v>
      </c>
      <c r="F30" s="18">
        <v>85457.49</v>
      </c>
      <c r="G30" s="18">
        <v>93284.01</v>
      </c>
      <c r="H30" s="18">
        <v>83233.84</v>
      </c>
      <c r="I30" s="18">
        <v>92356.53</v>
      </c>
      <c r="J30" s="18">
        <v>91278.13</v>
      </c>
      <c r="K30" s="20">
        <v>98858.27</v>
      </c>
      <c r="L30" s="19">
        <v>97312.92</v>
      </c>
      <c r="M30" s="20">
        <v>97230.74</v>
      </c>
      <c r="N30" s="20">
        <v>114779.94</v>
      </c>
      <c r="O30" s="20">
        <v>119049.39</v>
      </c>
      <c r="P30" s="21">
        <f>SUM(D30:O30)</f>
        <v>1116512.6199999999</v>
      </c>
      <c r="Q30" s="21">
        <f>AVERAGE(D30:O30)</f>
        <v>93042.718333333323</v>
      </c>
    </row>
    <row r="31" spans="1:17" x14ac:dyDescent="0.25">
      <c r="A31" s="16" t="s">
        <v>42</v>
      </c>
      <c r="B31" s="22" t="s">
        <v>23</v>
      </c>
      <c r="C31" s="17" t="s">
        <v>43</v>
      </c>
      <c r="D31" s="18">
        <v>21653.75</v>
      </c>
      <c r="E31" s="18">
        <v>15736.93</v>
      </c>
      <c r="F31" s="18">
        <v>20600.93</v>
      </c>
      <c r="G31" s="18">
        <v>19982.28</v>
      </c>
      <c r="H31" s="18">
        <v>18770.439999999999</v>
      </c>
      <c r="I31" s="18">
        <v>17903.13</v>
      </c>
      <c r="J31" s="18">
        <v>17599.14</v>
      </c>
      <c r="K31" s="18">
        <v>21429.57</v>
      </c>
      <c r="L31" s="19">
        <v>22557.26</v>
      </c>
      <c r="M31" s="20">
        <v>24478.28</v>
      </c>
      <c r="N31" s="20">
        <v>24342.17</v>
      </c>
      <c r="O31" s="20">
        <v>25574.39</v>
      </c>
      <c r="P31" s="21">
        <f>SUM(D31:O31)</f>
        <v>250628.27000000002</v>
      </c>
      <c r="Q31" s="21">
        <f>AVERAGE(D31:O31)</f>
        <v>20885.689166666667</v>
      </c>
    </row>
    <row r="32" spans="1:17" x14ac:dyDescent="0.25">
      <c r="A32" s="29" t="s">
        <v>20</v>
      </c>
      <c r="B32" s="30"/>
      <c r="C32" s="31"/>
      <c r="D32" s="27">
        <f>SUM(D22:D31)</f>
        <v>660674.68999999994</v>
      </c>
      <c r="E32" s="27">
        <f t="shared" ref="E32:O32" si="5">SUM(E22:E31)</f>
        <v>711383.51000000013</v>
      </c>
      <c r="F32" s="27">
        <f>SUM(F22:F31)</f>
        <v>760224.47</v>
      </c>
      <c r="G32" s="27">
        <f t="shared" si="5"/>
        <v>832064.28</v>
      </c>
      <c r="H32" s="27">
        <f t="shared" si="5"/>
        <v>725753.52999999991</v>
      </c>
      <c r="I32" s="27">
        <f t="shared" si="5"/>
        <v>757645.2899999998</v>
      </c>
      <c r="J32" s="27">
        <f t="shared" si="5"/>
        <v>698471.14</v>
      </c>
      <c r="K32" s="27">
        <f>SUM(K22:K31)</f>
        <v>698567.11</v>
      </c>
      <c r="L32" s="27">
        <f>SUM(L22:L31)</f>
        <v>772518.47999999986</v>
      </c>
      <c r="M32" s="27">
        <f t="shared" si="5"/>
        <v>850202.53</v>
      </c>
      <c r="N32" s="27">
        <f t="shared" si="5"/>
        <v>927994.72000000009</v>
      </c>
      <c r="O32" s="27">
        <f t="shared" si="5"/>
        <v>993638.28999999992</v>
      </c>
      <c r="P32" s="27">
        <f>SUM(D32:O32)</f>
        <v>9389138.0399999991</v>
      </c>
      <c r="Q32" s="28">
        <f>AVERAGE(D32:O32)</f>
        <v>782428.16999999993</v>
      </c>
    </row>
  </sheetData>
  <mergeCells count="9">
    <mergeCell ref="A17:C17"/>
    <mergeCell ref="D20:Q20"/>
    <mergeCell ref="A32:C32"/>
    <mergeCell ref="A1:Q1"/>
    <mergeCell ref="A2:B2"/>
    <mergeCell ref="C2:Q2"/>
    <mergeCell ref="A3:B3"/>
    <mergeCell ref="C3:Q3"/>
    <mergeCell ref="D5:Q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Energia 2023</vt:lpstr>
    </vt:vector>
  </TitlesOfParts>
  <Company>Presidência da República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Henrique Brito Sousa</dc:creator>
  <cp:lastModifiedBy>Thiago Botelho Pereira</cp:lastModifiedBy>
  <dcterms:created xsi:type="dcterms:W3CDTF">2023-11-21T13:15:50Z</dcterms:created>
  <dcterms:modified xsi:type="dcterms:W3CDTF">2024-01-16T12:46:35Z</dcterms:modified>
</cp:coreProperties>
</file>