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castelo\COENP\11 - QlikView DADOS ABERTOS\CSV\"/>
    </mc:Choice>
  </mc:AlternateContent>
  <xr:revisionPtr revIDLastSave="0" documentId="13_ncr:1_{63F39E06-A852-42E8-A0C8-ADF4AEDA0A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ergia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32" i="1"/>
  <c r="J32" i="1"/>
  <c r="G32" i="1"/>
  <c r="H32" i="1"/>
  <c r="I32" i="1"/>
  <c r="L32" i="1"/>
  <c r="M32" i="1"/>
  <c r="N32" i="1"/>
  <c r="O32" i="1"/>
  <c r="G17" i="1"/>
  <c r="H17" i="1"/>
  <c r="I17" i="1"/>
  <c r="J17" i="1"/>
  <c r="L17" i="1"/>
  <c r="M17" i="1"/>
  <c r="N17" i="1"/>
  <c r="O17" i="1"/>
  <c r="F32" i="1" l="1"/>
  <c r="F17" i="1"/>
  <c r="E32" i="1" l="1"/>
  <c r="D17" i="1"/>
  <c r="E17" i="1"/>
  <c r="D32" i="1" l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P32" i="1" l="1"/>
  <c r="Q32" i="1"/>
  <c r="Q17" i="1"/>
  <c r="P17" i="1"/>
</calcChain>
</file>

<file path=xl/sharedStrings.xml><?xml version="1.0" encoding="utf-8"?>
<sst xmlns="http://schemas.openxmlformats.org/spreadsheetml/2006/main" count="102" uniqueCount="46">
  <si>
    <t>PLANILHA</t>
  </si>
  <si>
    <t>DEPARTAMENTO</t>
  </si>
  <si>
    <t>kWh</t>
  </si>
  <si>
    <t>Local</t>
  </si>
  <si>
    <t>Contrato</t>
  </si>
  <si>
    <t>Identificação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</si>
  <si>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</si>
  <si>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</si>
  <si>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</si>
  <si>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</si>
  <si>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</si>
  <si>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</si>
  <si>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</si>
  <si>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</si>
  <si>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</si>
  <si>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</si>
  <si>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</si>
  <si>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</si>
  <si>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</si>
  <si>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Média</t>
  </si>
  <si>
    <t>Pal.Planalto - Instal</t>
  </si>
  <si>
    <t>42/2022</t>
  </si>
  <si>
    <t>1.087.797-5</t>
  </si>
  <si>
    <t>Pal.Planalto - Ar.Condi</t>
  </si>
  <si>
    <t>1.087.798-3</t>
  </si>
  <si>
    <t>Pal.Planalto - Anexos</t>
  </si>
  <si>
    <t>923.928-6</t>
  </si>
  <si>
    <t>Pal.Planalto - Incêndio</t>
  </si>
  <si>
    <t>43/2022</t>
  </si>
  <si>
    <t>1.089.702-x</t>
  </si>
  <si>
    <t>Pal.Planalto - Garagem</t>
  </si>
  <si>
    <t>491.662-x</t>
  </si>
  <si>
    <t>Almoxarifado Central</t>
  </si>
  <si>
    <t>466.456-6</t>
  </si>
  <si>
    <t>Pavilhão das Metas - SNJ</t>
  </si>
  <si>
    <t>1.489.481-5</t>
  </si>
  <si>
    <t>GSI - PR</t>
  </si>
  <si>
    <t>1.297.397-1</t>
  </si>
  <si>
    <t>Pal.Alvorada</t>
  </si>
  <si>
    <t>703.776-7</t>
  </si>
  <si>
    <t>Granja do Torto</t>
  </si>
  <si>
    <t>491.708-1</t>
  </si>
  <si>
    <t>R$</t>
  </si>
  <si>
    <t>Pal.planalto-icêndio</t>
  </si>
  <si>
    <t>Coordenação-Geral de Gestão e Projetos de Engenharia - COGPEN</t>
  </si>
  <si>
    <r>
      <t xml:space="preserve">Consumo de Energia Elétrica, em kWh e R$, da Presidência da República no </t>
    </r>
    <r>
      <rPr>
        <b/>
        <sz val="16"/>
        <color theme="1"/>
        <rFont val="Calibri"/>
        <family val="2"/>
        <scheme val="minor"/>
      </rPr>
      <t>ano de 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</si>
</sst>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4FC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24"/>
      </patternFill>
    </fill>
    <fill>
      <patternFill patternType="solid">
        <fgColor rgb="FFD4FCD6"/>
        <bgColor indexed="2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</cellStyleXfs>
  <cellXfs count="36">
    <xf numFmtId="0" fontId="0" fillId="0" borderId="0" xfId="0"/>
    <xf numFmtId="44" fontId="0" fillId="0" borderId="0" xfId="2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3" fontId="9" fillId="3" borderId="1" xfId="1" applyNumberFormat="1" applyFont="1" applyFill="1" applyBorder="1" applyAlignment="1">
      <alignment horizontal="right"/>
    </xf>
    <xf numFmtId="3" fontId="0" fillId="3" borderId="0" xfId="1" applyNumberFormat="1" applyFont="1" applyFill="1" applyAlignment="1">
      <alignment horizontal="right"/>
    </xf>
    <xf numFmtId="3" fontId="10" fillId="3" borderId="1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0" fillId="4" borderId="0" xfId="0" applyNumberFormat="1" applyFill="1"/>
    <xf numFmtId="0" fontId="0" fillId="4" borderId="0" xfId="0" applyFill="1"/>
    <xf numFmtId="3" fontId="2" fillId="2" borderId="1" xfId="1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/>
    </xf>
    <xf numFmtId="44" fontId="9" fillId="6" borderId="1" xfId="2" applyFont="1" applyFill="1" applyBorder="1" applyAlignment="1">
      <alignment horizontal="right" vertical="center"/>
    </xf>
    <xf numFmtId="44" fontId="11" fillId="5" borderId="1" xfId="2" applyFont="1" applyFill="1" applyBorder="1" applyAlignment="1">
      <alignment horizontal="right" vertical="center"/>
    </xf>
    <xf numFmtId="44" fontId="9" fillId="5" borderId="1" xfId="2" applyFont="1" applyFill="1" applyBorder="1" applyAlignment="1">
      <alignment horizontal="right" vertical="center"/>
    </xf>
    <xf numFmtId="44" fontId="10" fillId="6" borderId="1" xfId="2" applyFont="1" applyFill="1" applyBorder="1" applyAlignment="1">
      <alignment horizontal="right" vertical="center"/>
    </xf>
    <xf numFmtId="44" fontId="2" fillId="2" borderId="1" xfId="2" applyFont="1" applyFill="1" applyBorder="1" applyAlignment="1">
      <alignment horizontal="right" vertical="center"/>
    </xf>
    <xf numFmtId="8" fontId="9" fillId="6" borderId="1" xfId="2" applyNumberFormat="1" applyFont="1" applyFill="1" applyBorder="1" applyAlignment="1">
      <alignment horizontal="right" vertical="center"/>
    </xf>
    <xf numFmtId="3" fontId="9" fillId="3" borderId="1" xfId="3" applyNumberFormat="1" applyFill="1" applyBorder="1" applyAlignment="1">
      <alignment horizontal="right" vertical="center"/>
    </xf>
    <xf numFmtId="3" fontId="9" fillId="7" borderId="1" xfId="3" applyNumberFormat="1" applyFill="1" applyBorder="1" applyAlignment="1">
      <alignment horizontal="right" vertical="center"/>
    </xf>
    <xf numFmtId="44" fontId="3" fillId="5" borderId="1" xfId="2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Normal 2" xfId="3" xr:uid="{00000000-0005-0000-0000-000002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1485900</xdr:colOff>
      <xdr:row>0</xdr:row>
      <xdr:rowOff>1539881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1333500" cy="1425581"/>
        </a:xfrm>
        <a:prstGeom prst="rect">
          <a:avLst/>
        </a:prstGeom>
      </xdr:spPr>
    </xdr:pic>
    <xdr:clientData/>
  </xdr:twoCellAnchor>
  <xdr:twoCellAnchor>
    <xdr:from>
      <xdr:col>0</xdr:col>
      <xdr:colOff>1466850</xdr:colOff>
      <xdr:row>0</xdr:row>
      <xdr:rowOff>285750</xdr:rowOff>
    </xdr:from>
    <xdr:to>
      <xdr:col>2</xdr:col>
      <xdr:colOff>333375</xdr:colOff>
      <xdr:row>0</xdr:row>
      <xdr:rowOff>1304926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66850" y="285750"/>
          <a:ext cx="3076575" cy="10191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PRESIDÊNCIA DA REPÚBLICA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Civil</a:t>
          </a:r>
          <a:endParaRPr lang="pt-BR" sz="1200">
            <a:effectLst/>
          </a:endParaRP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Secretaria-Executiva da Casa Civil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Secretaria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Administração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Diretoria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Engenharia e Patrimônio</a:t>
          </a:r>
          <a:endParaRPr lang="pt-BR" sz="1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showGridLines="0" tabSelected="1" topLeftCell="B2" zoomScaleNormal="100" workbookViewId="0">
      <selection activeCell="S27" sqref="S27"/>
    </sheetView>
  </sheetViews>
  <sheetFormatPr defaultRowHeight="15" x14ac:dyDescent="0.25"/>
  <cols>
    <col min="1" max="1" width="54" customWidth="1"/>
    <col min="3" max="3" width="12.42578125" bestFit="1" customWidth="1"/>
    <col min="4" max="5" width="14.42578125" bestFit="1" customWidth="1"/>
    <col min="6" max="6" width="14.28515625" bestFit="1" customWidth="1"/>
    <col min="7" max="7" width="14.42578125" bestFit="1" customWidth="1"/>
    <col min="8" max="8" width="15.85546875" bestFit="1" customWidth="1"/>
    <col min="9" max="12" width="14.28515625" bestFit="1" customWidth="1"/>
    <col min="13" max="14" width="15.85546875" bestFit="1" customWidth="1"/>
    <col min="15" max="15" width="14.28515625" bestFit="1" customWidth="1"/>
    <col min="16" max="16" width="17.28515625" customWidth="1"/>
    <col min="17" max="17" width="24.7109375" customWidth="1"/>
  </cols>
  <sheetData>
    <row r="1" spans="1:18" ht="126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8" ht="21.75" customHeight="1" x14ac:dyDescent="0.25">
      <c r="A2" s="32" t="s">
        <v>0</v>
      </c>
      <c r="B2" s="33"/>
      <c r="C2" s="34" t="s">
        <v>45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8" ht="20.25" customHeight="1" x14ac:dyDescent="0.25">
      <c r="A3" s="32" t="s">
        <v>1</v>
      </c>
      <c r="B3" s="33"/>
      <c r="C3" s="34" t="s">
        <v>44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8" x14ac:dyDescent="0.25">
      <c r="G4" s="1"/>
    </row>
    <row r="5" spans="1:18" ht="33" customHeight="1" x14ac:dyDescent="0.25">
      <c r="B5" s="2"/>
      <c r="C5" s="2"/>
      <c r="D5" s="35" t="s">
        <v>2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1:18" x14ac:dyDescent="0.25">
      <c r="A6" s="3" t="s">
        <v>3</v>
      </c>
      <c r="B6" s="3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</row>
    <row r="7" spans="1:18" x14ac:dyDescent="0.25">
      <c r="A7" s="5" t="s">
        <v>20</v>
      </c>
      <c r="B7" s="5" t="s">
        <v>21</v>
      </c>
      <c r="C7" s="6" t="s">
        <v>22</v>
      </c>
      <c r="D7" s="7">
        <v>218232</v>
      </c>
      <c r="E7" s="7">
        <v>218831</v>
      </c>
      <c r="F7" s="7">
        <v>218143</v>
      </c>
      <c r="G7" s="7">
        <v>236719</v>
      </c>
      <c r="H7" s="7">
        <v>227260</v>
      </c>
      <c r="I7" s="8">
        <v>217825</v>
      </c>
      <c r="J7" s="7">
        <v>198504</v>
      </c>
      <c r="K7" s="7">
        <v>181792</v>
      </c>
      <c r="L7" s="7">
        <v>194241</v>
      </c>
      <c r="M7" s="9">
        <v>200998</v>
      </c>
      <c r="N7" s="9"/>
      <c r="O7" s="9"/>
      <c r="P7" s="10">
        <f t="shared" ref="P7:P16" si="0">SUM(D7:O7)</f>
        <v>2112545</v>
      </c>
      <c r="Q7" s="10">
        <f>AVERAGE(D7:O7)</f>
        <v>211254.5</v>
      </c>
    </row>
    <row r="8" spans="1:18" x14ac:dyDescent="0.25">
      <c r="A8" s="5" t="s">
        <v>23</v>
      </c>
      <c r="B8" s="5" t="s">
        <v>21</v>
      </c>
      <c r="C8" s="6" t="s">
        <v>24</v>
      </c>
      <c r="D8" s="7">
        <v>92761</v>
      </c>
      <c r="E8" s="7">
        <v>98864</v>
      </c>
      <c r="F8" s="7">
        <v>90378</v>
      </c>
      <c r="G8" s="7">
        <v>102062</v>
      </c>
      <c r="H8" s="7">
        <v>97307</v>
      </c>
      <c r="I8" s="7">
        <v>90150</v>
      </c>
      <c r="J8" s="9">
        <v>72625</v>
      </c>
      <c r="K8" s="9">
        <v>71145</v>
      </c>
      <c r="L8" s="9">
        <v>78897</v>
      </c>
      <c r="M8" s="9">
        <v>93780</v>
      </c>
      <c r="N8" s="9"/>
      <c r="O8" s="9"/>
      <c r="P8" s="10">
        <f t="shared" si="0"/>
        <v>887969</v>
      </c>
      <c r="Q8" s="10">
        <f t="shared" ref="Q8:Q16" si="1">AVERAGE(D8:O8)</f>
        <v>88796.9</v>
      </c>
    </row>
    <row r="9" spans="1:18" s="12" customFormat="1" x14ac:dyDescent="0.25">
      <c r="A9" s="5" t="s">
        <v>25</v>
      </c>
      <c r="B9" s="5" t="s">
        <v>21</v>
      </c>
      <c r="C9" s="6" t="s">
        <v>26</v>
      </c>
      <c r="D9" s="9">
        <v>329318</v>
      </c>
      <c r="E9" s="9">
        <v>324011</v>
      </c>
      <c r="F9" s="9">
        <v>327772</v>
      </c>
      <c r="G9" s="9">
        <v>347163</v>
      </c>
      <c r="H9" s="9">
        <v>338864</v>
      </c>
      <c r="I9" s="9">
        <v>303720</v>
      </c>
      <c r="J9" s="9">
        <v>277851</v>
      </c>
      <c r="K9" s="9">
        <v>280900</v>
      </c>
      <c r="L9" s="9">
        <v>297771</v>
      </c>
      <c r="M9" s="9">
        <v>331578</v>
      </c>
      <c r="N9" s="9"/>
      <c r="O9" s="9"/>
      <c r="P9" s="10">
        <f t="shared" si="0"/>
        <v>3158948</v>
      </c>
      <c r="Q9" s="10">
        <f t="shared" si="1"/>
        <v>315894.8</v>
      </c>
      <c r="R9" s="11"/>
    </row>
    <row r="10" spans="1:18" s="12" customFormat="1" x14ac:dyDescent="0.25">
      <c r="A10" s="5" t="s">
        <v>27</v>
      </c>
      <c r="B10" s="5" t="s">
        <v>28</v>
      </c>
      <c r="C10" s="6" t="s">
        <v>29</v>
      </c>
      <c r="D10" s="7">
        <v>100</v>
      </c>
      <c r="E10" s="7">
        <v>100</v>
      </c>
      <c r="F10" s="7">
        <v>100</v>
      </c>
      <c r="G10" s="7">
        <v>100</v>
      </c>
      <c r="H10" s="7">
        <v>100</v>
      </c>
      <c r="I10" s="7">
        <v>100</v>
      </c>
      <c r="J10" s="9">
        <v>100</v>
      </c>
      <c r="K10" s="7">
        <v>100</v>
      </c>
      <c r="L10" s="7">
        <v>100</v>
      </c>
      <c r="M10" s="7">
        <v>100</v>
      </c>
      <c r="N10" s="9"/>
      <c r="O10" s="9"/>
      <c r="P10" s="10">
        <f t="shared" si="0"/>
        <v>1000</v>
      </c>
      <c r="Q10" s="10">
        <f t="shared" si="1"/>
        <v>100</v>
      </c>
    </row>
    <row r="11" spans="1:18" s="12" customFormat="1" x14ac:dyDescent="0.25">
      <c r="A11" s="5" t="s">
        <v>30</v>
      </c>
      <c r="B11" s="5" t="s">
        <v>21</v>
      </c>
      <c r="C11" s="6" t="s">
        <v>31</v>
      </c>
      <c r="D11" s="24">
        <v>36591</v>
      </c>
      <c r="E11" s="7">
        <v>32473</v>
      </c>
      <c r="F11" s="7">
        <v>37335</v>
      </c>
      <c r="G11" s="7">
        <v>38145</v>
      </c>
      <c r="H11" s="7">
        <v>35811</v>
      </c>
      <c r="I11" s="7">
        <v>30647</v>
      </c>
      <c r="J11" s="9">
        <v>28314</v>
      </c>
      <c r="K11" s="9">
        <v>29650</v>
      </c>
      <c r="L11" s="7">
        <v>33735</v>
      </c>
      <c r="M11" s="9">
        <v>40604</v>
      </c>
      <c r="N11" s="9"/>
      <c r="O11" s="9"/>
      <c r="P11" s="10">
        <f t="shared" si="0"/>
        <v>343305</v>
      </c>
      <c r="Q11" s="10">
        <f t="shared" si="1"/>
        <v>34330.5</v>
      </c>
    </row>
    <row r="12" spans="1:18" s="12" customFormat="1" ht="15.75" customHeight="1" x14ac:dyDescent="0.25">
      <c r="A12" s="5" t="s">
        <v>32</v>
      </c>
      <c r="B12" s="5" t="s">
        <v>21</v>
      </c>
      <c r="C12" s="6" t="s">
        <v>33</v>
      </c>
      <c r="D12" s="7">
        <v>18030</v>
      </c>
      <c r="E12" s="7">
        <v>17445</v>
      </c>
      <c r="F12" s="7">
        <v>20127</v>
      </c>
      <c r="G12" s="7">
        <v>20304</v>
      </c>
      <c r="H12" s="7">
        <v>18851</v>
      </c>
      <c r="I12" s="7">
        <v>13729</v>
      </c>
      <c r="J12" s="7">
        <v>11510</v>
      </c>
      <c r="K12" s="7">
        <v>12178</v>
      </c>
      <c r="L12" s="7">
        <v>14623</v>
      </c>
      <c r="M12" s="9">
        <v>18938</v>
      </c>
      <c r="N12" s="9"/>
      <c r="O12" s="9"/>
      <c r="P12" s="10">
        <f t="shared" si="0"/>
        <v>165735</v>
      </c>
      <c r="Q12" s="10">
        <f t="shared" si="1"/>
        <v>16573.5</v>
      </c>
    </row>
    <row r="13" spans="1:18" s="12" customFormat="1" x14ac:dyDescent="0.25">
      <c r="A13" s="5" t="s">
        <v>34</v>
      </c>
      <c r="B13" s="5" t="s">
        <v>28</v>
      </c>
      <c r="C13" s="6" t="s">
        <v>35</v>
      </c>
      <c r="D13" s="7">
        <v>14720</v>
      </c>
      <c r="E13" s="7">
        <v>17600</v>
      </c>
      <c r="F13" s="7">
        <v>18400</v>
      </c>
      <c r="G13" s="7">
        <v>17440</v>
      </c>
      <c r="H13" s="7">
        <v>14960</v>
      </c>
      <c r="I13" s="7">
        <v>14400</v>
      </c>
      <c r="J13" s="7">
        <v>11920</v>
      </c>
      <c r="K13" s="7">
        <v>12800</v>
      </c>
      <c r="L13" s="7">
        <v>16560</v>
      </c>
      <c r="M13" s="7">
        <v>18000</v>
      </c>
      <c r="N13" s="7"/>
      <c r="O13" s="7"/>
      <c r="P13" s="10">
        <f t="shared" si="0"/>
        <v>156800</v>
      </c>
      <c r="Q13" s="10">
        <f t="shared" si="1"/>
        <v>15680</v>
      </c>
    </row>
    <row r="14" spans="1:18" s="12" customFormat="1" x14ac:dyDescent="0.25">
      <c r="A14" s="5" t="s">
        <v>36</v>
      </c>
      <c r="B14" s="5" t="s">
        <v>21</v>
      </c>
      <c r="C14" s="6" t="s">
        <v>37</v>
      </c>
      <c r="D14" s="25">
        <v>69269</v>
      </c>
      <c r="E14" s="7">
        <v>72805</v>
      </c>
      <c r="F14" s="7">
        <v>74397</v>
      </c>
      <c r="G14" s="7">
        <v>76877</v>
      </c>
      <c r="H14" s="7">
        <v>70034</v>
      </c>
      <c r="I14" s="7">
        <v>59083</v>
      </c>
      <c r="J14" s="9">
        <v>52949</v>
      </c>
      <c r="K14" s="9">
        <v>49086</v>
      </c>
      <c r="L14" s="9">
        <v>59952</v>
      </c>
      <c r="M14" s="7">
        <v>75134</v>
      </c>
      <c r="N14" s="9"/>
      <c r="O14" s="9"/>
      <c r="P14" s="10">
        <f t="shared" si="0"/>
        <v>659586</v>
      </c>
      <c r="Q14" s="10">
        <f t="shared" si="1"/>
        <v>65958.600000000006</v>
      </c>
    </row>
    <row r="15" spans="1:18" s="12" customFormat="1" ht="14.25" customHeight="1" x14ac:dyDescent="0.25">
      <c r="A15" s="5" t="s">
        <v>38</v>
      </c>
      <c r="B15" s="5" t="s">
        <v>21</v>
      </c>
      <c r="C15" s="6" t="s">
        <v>39</v>
      </c>
      <c r="D15" s="25">
        <v>141165</v>
      </c>
      <c r="E15" s="7">
        <v>145456</v>
      </c>
      <c r="F15" s="7">
        <v>155889</v>
      </c>
      <c r="G15" s="7">
        <v>170999</v>
      </c>
      <c r="H15" s="7">
        <v>168928</v>
      </c>
      <c r="I15" s="7">
        <v>154975</v>
      </c>
      <c r="J15" s="7">
        <v>158020</v>
      </c>
      <c r="K15" s="9">
        <v>178783</v>
      </c>
      <c r="L15" s="9">
        <v>175257</v>
      </c>
      <c r="M15" s="9">
        <v>160214</v>
      </c>
      <c r="N15" s="9"/>
      <c r="O15" s="9"/>
      <c r="P15" s="10">
        <f t="shared" si="0"/>
        <v>1609686</v>
      </c>
      <c r="Q15" s="10">
        <f t="shared" si="1"/>
        <v>160968.6</v>
      </c>
    </row>
    <row r="16" spans="1:18" s="12" customFormat="1" x14ac:dyDescent="0.25">
      <c r="A16" s="5" t="s">
        <v>40</v>
      </c>
      <c r="B16" s="5" t="s">
        <v>21</v>
      </c>
      <c r="C16" s="6" t="s">
        <v>41</v>
      </c>
      <c r="D16" s="7">
        <v>37563</v>
      </c>
      <c r="E16" s="7">
        <v>45087</v>
      </c>
      <c r="F16" s="7">
        <v>41147</v>
      </c>
      <c r="G16" s="7">
        <v>46312</v>
      </c>
      <c r="H16" s="7">
        <v>42133</v>
      </c>
      <c r="I16" s="7">
        <v>40061</v>
      </c>
      <c r="J16" s="7">
        <v>40238</v>
      </c>
      <c r="K16" s="9">
        <v>34585</v>
      </c>
      <c r="L16" s="9">
        <v>35478</v>
      </c>
      <c r="M16" s="9">
        <v>150</v>
      </c>
      <c r="N16" s="9"/>
      <c r="O16" s="9"/>
      <c r="P16" s="10">
        <f t="shared" si="0"/>
        <v>362754</v>
      </c>
      <c r="Q16" s="10">
        <f t="shared" si="1"/>
        <v>36275.4</v>
      </c>
    </row>
    <row r="17" spans="1:17" x14ac:dyDescent="0.25">
      <c r="A17" s="27" t="s">
        <v>18</v>
      </c>
      <c r="B17" s="28"/>
      <c r="C17" s="29"/>
      <c r="D17" s="13">
        <f>SUM(D7:D16)</f>
        <v>957749</v>
      </c>
      <c r="E17" s="13">
        <f>SUM(E7:E16)</f>
        <v>972672</v>
      </c>
      <c r="F17" s="13">
        <f>SUM(F7:F16)</f>
        <v>983688</v>
      </c>
      <c r="G17" s="13">
        <f t="shared" ref="G17:O17" si="2">SUM(G7:G16)</f>
        <v>1056121</v>
      </c>
      <c r="H17" s="13">
        <f t="shared" si="2"/>
        <v>1014248</v>
      </c>
      <c r="I17" s="13">
        <f t="shared" si="2"/>
        <v>924690</v>
      </c>
      <c r="J17" s="13">
        <f t="shared" si="2"/>
        <v>852031</v>
      </c>
      <c r="K17" s="13">
        <f>SUM(K7:K16)</f>
        <v>851019</v>
      </c>
      <c r="L17" s="13">
        <f t="shared" si="2"/>
        <v>906614</v>
      </c>
      <c r="M17" s="13">
        <f t="shared" si="2"/>
        <v>939496</v>
      </c>
      <c r="N17" s="13">
        <f t="shared" si="2"/>
        <v>0</v>
      </c>
      <c r="O17" s="13">
        <f t="shared" si="2"/>
        <v>0</v>
      </c>
      <c r="P17" s="13">
        <f>SUM(P7:P16)</f>
        <v>9458328</v>
      </c>
      <c r="Q17" s="13">
        <f>SUM(Q7:Q16)</f>
        <v>945832.79999999993</v>
      </c>
    </row>
    <row r="18" spans="1:17" x14ac:dyDescent="0.25">
      <c r="G18" s="1"/>
    </row>
    <row r="19" spans="1:17" x14ac:dyDescent="0.25">
      <c r="G19" s="1"/>
    </row>
    <row r="20" spans="1:17" ht="21" x14ac:dyDescent="0.35">
      <c r="D20" s="30" t="s">
        <v>42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21" spans="1:17" x14ac:dyDescent="0.25">
      <c r="A21" s="3" t="s">
        <v>3</v>
      </c>
      <c r="B21" s="3" t="s">
        <v>4</v>
      </c>
      <c r="C21" s="4" t="s">
        <v>5</v>
      </c>
      <c r="D21" s="4" t="s">
        <v>6</v>
      </c>
      <c r="E21" s="4" t="s">
        <v>7</v>
      </c>
      <c r="F21" s="4" t="s">
        <v>8</v>
      </c>
      <c r="G21" s="4" t="s">
        <v>9</v>
      </c>
      <c r="H21" s="4" t="s">
        <v>10</v>
      </c>
      <c r="I21" s="4" t="s">
        <v>11</v>
      </c>
      <c r="J21" s="4" t="s">
        <v>12</v>
      </c>
      <c r="K21" s="4" t="s">
        <v>13</v>
      </c>
      <c r="L21" s="4" t="s">
        <v>14</v>
      </c>
      <c r="M21" s="4" t="s">
        <v>15</v>
      </c>
      <c r="N21" s="4" t="s">
        <v>16</v>
      </c>
      <c r="O21" s="4" t="s">
        <v>17</v>
      </c>
      <c r="P21" s="4" t="s">
        <v>18</v>
      </c>
      <c r="Q21" s="4" t="s">
        <v>19</v>
      </c>
    </row>
    <row r="22" spans="1:17" s="12" customFormat="1" ht="14.25" customHeight="1" x14ac:dyDescent="0.25">
      <c r="A22" s="14" t="s">
        <v>20</v>
      </c>
      <c r="B22" s="14" t="s">
        <v>21</v>
      </c>
      <c r="C22" s="15" t="s">
        <v>22</v>
      </c>
      <c r="D22" s="18">
        <v>207011.18</v>
      </c>
      <c r="E22" s="18">
        <v>213922.6</v>
      </c>
      <c r="F22" s="18">
        <v>211986.38</v>
      </c>
      <c r="G22" s="18">
        <v>220653.57</v>
      </c>
      <c r="H22" s="18">
        <v>216302.4</v>
      </c>
      <c r="I22" s="18">
        <v>212285.23</v>
      </c>
      <c r="J22" s="18">
        <v>203486.85</v>
      </c>
      <c r="K22" s="23">
        <v>193958.65</v>
      </c>
      <c r="L22" s="23">
        <v>212803.13</v>
      </c>
      <c r="M22" s="18">
        <v>224014.68</v>
      </c>
      <c r="N22" s="18"/>
      <c r="O22" s="18"/>
      <c r="P22" s="26">
        <f>SUM(D22:O22)</f>
        <v>2116424.67</v>
      </c>
      <c r="Q22" s="26">
        <f>AVERAGE(D22:O22)</f>
        <v>211642.467</v>
      </c>
    </row>
    <row r="23" spans="1:17" x14ac:dyDescent="0.25">
      <c r="A23" s="14" t="s">
        <v>23</v>
      </c>
      <c r="B23" s="16" t="s">
        <v>21</v>
      </c>
      <c r="C23" s="17" t="s">
        <v>24</v>
      </c>
      <c r="D23" s="18">
        <v>95488.25</v>
      </c>
      <c r="E23" s="18">
        <v>102968.28</v>
      </c>
      <c r="F23" s="18">
        <v>94907.32</v>
      </c>
      <c r="G23" s="18">
        <v>103372.59</v>
      </c>
      <c r="H23" s="18">
        <v>101149.9</v>
      </c>
      <c r="I23" s="18">
        <v>95512.06</v>
      </c>
      <c r="J23" s="18">
        <v>81834.44</v>
      </c>
      <c r="K23" s="23">
        <v>83338.11</v>
      </c>
      <c r="L23" s="23">
        <v>94270.21</v>
      </c>
      <c r="M23" s="18">
        <v>111229.46</v>
      </c>
      <c r="N23" s="18"/>
      <c r="O23" s="18"/>
      <c r="P23" s="26">
        <f>SUM(D23:O23)</f>
        <v>964070.61999999976</v>
      </c>
      <c r="Q23" s="26">
        <f t="shared" ref="Q23:Q29" si="3">AVERAGE(D23:O23)</f>
        <v>96407.061999999976</v>
      </c>
    </row>
    <row r="24" spans="1:17" s="12" customFormat="1" x14ac:dyDescent="0.25">
      <c r="A24" s="14" t="s">
        <v>25</v>
      </c>
      <c r="B24" s="14" t="s">
        <v>21</v>
      </c>
      <c r="C24" s="15" t="s">
        <v>26</v>
      </c>
      <c r="D24" s="19">
        <v>315461.11</v>
      </c>
      <c r="E24" s="19">
        <v>320202.65999999997</v>
      </c>
      <c r="F24" s="19">
        <v>326308.07</v>
      </c>
      <c r="G24" s="19">
        <v>331081.89</v>
      </c>
      <c r="H24" s="19">
        <v>330923.89</v>
      </c>
      <c r="I24" s="18">
        <v>309063.09999999998</v>
      </c>
      <c r="J24" s="18">
        <v>298515.90000000002</v>
      </c>
      <c r="K24" s="23">
        <v>302528.26</v>
      </c>
      <c r="L24" s="23">
        <v>325697.55</v>
      </c>
      <c r="M24" s="18">
        <v>366804.66</v>
      </c>
      <c r="N24" s="18"/>
      <c r="O24" s="18"/>
      <c r="P24" s="26">
        <f>SUM(D24:O24)</f>
        <v>3226587.09</v>
      </c>
      <c r="Q24" s="26">
        <f t="shared" si="3"/>
        <v>322658.70899999997</v>
      </c>
    </row>
    <row r="25" spans="1:17" ht="14.25" customHeight="1" x14ac:dyDescent="0.25">
      <c r="A25" s="14" t="s">
        <v>43</v>
      </c>
      <c r="B25" s="16" t="s">
        <v>28</v>
      </c>
      <c r="C25" s="15" t="s">
        <v>29</v>
      </c>
      <c r="D25" s="20">
        <v>96.8</v>
      </c>
      <c r="E25" s="20">
        <v>93.56</v>
      </c>
      <c r="F25" s="19">
        <v>93.38</v>
      </c>
      <c r="G25" s="20">
        <v>91.88</v>
      </c>
      <c r="H25" s="20">
        <v>93.68</v>
      </c>
      <c r="I25" s="18">
        <v>95.25</v>
      </c>
      <c r="J25" s="18">
        <v>98.53</v>
      </c>
      <c r="K25" s="23">
        <v>99.75</v>
      </c>
      <c r="L25" s="23">
        <v>102.96</v>
      </c>
      <c r="M25" s="18">
        <v>102.61</v>
      </c>
      <c r="N25" s="18"/>
      <c r="O25" s="18"/>
      <c r="P25" s="26">
        <f>SUM(D25:O25)</f>
        <v>968.4</v>
      </c>
      <c r="Q25" s="26">
        <f>AVERAGE(D25:O25)</f>
        <v>96.84</v>
      </c>
    </row>
    <row r="26" spans="1:17" x14ac:dyDescent="0.25">
      <c r="A26" s="14" t="s">
        <v>30</v>
      </c>
      <c r="B26" s="16" t="s">
        <v>21</v>
      </c>
      <c r="C26" s="15" t="s">
        <v>31</v>
      </c>
      <c r="D26" s="20">
        <v>30505.59</v>
      </c>
      <c r="E26" s="18">
        <v>27475.260000000002</v>
      </c>
      <c r="F26" s="18">
        <v>31192.33</v>
      </c>
      <c r="G26" s="18">
        <v>31608.68</v>
      </c>
      <c r="H26" s="19">
        <v>29948.63</v>
      </c>
      <c r="I26" s="18">
        <v>26835.73</v>
      </c>
      <c r="J26" s="18">
        <v>26344.73</v>
      </c>
      <c r="K26" s="23">
        <v>27833.45</v>
      </c>
      <c r="L26" s="23">
        <v>32245.31</v>
      </c>
      <c r="M26" s="18">
        <v>38640.06</v>
      </c>
      <c r="N26" s="18"/>
      <c r="O26" s="18"/>
      <c r="P26" s="26">
        <f>SUM(D26:O26)</f>
        <v>302629.77000000008</v>
      </c>
      <c r="Q26" s="26">
        <f t="shared" si="3"/>
        <v>30262.977000000006</v>
      </c>
    </row>
    <row r="27" spans="1:17" s="12" customFormat="1" ht="13.5" customHeight="1" x14ac:dyDescent="0.25">
      <c r="A27" s="14" t="s">
        <v>32</v>
      </c>
      <c r="B27" s="16" t="s">
        <v>21</v>
      </c>
      <c r="C27" s="15" t="s">
        <v>33</v>
      </c>
      <c r="D27" s="18">
        <v>16090.21</v>
      </c>
      <c r="E27" s="18">
        <v>15870.719999999998</v>
      </c>
      <c r="F27" s="18">
        <v>17878.3</v>
      </c>
      <c r="G27" s="18">
        <v>17571.96</v>
      </c>
      <c r="H27" s="18">
        <v>16727.009999999998</v>
      </c>
      <c r="I27" s="18">
        <v>13211.21</v>
      </c>
      <c r="J27" s="18">
        <v>12053.38</v>
      </c>
      <c r="K27" s="23">
        <v>12769.17</v>
      </c>
      <c r="L27" s="23">
        <v>15360.91</v>
      </c>
      <c r="M27" s="18">
        <v>19189.189999999999</v>
      </c>
      <c r="N27" s="18"/>
      <c r="O27" s="18"/>
      <c r="P27" s="26">
        <f t="shared" ref="P27" si="4">SUM(D27:O27)</f>
        <v>156722.06</v>
      </c>
      <c r="Q27" s="26">
        <f t="shared" si="3"/>
        <v>15672.206</v>
      </c>
    </row>
    <row r="28" spans="1:17" s="12" customFormat="1" x14ac:dyDescent="0.25">
      <c r="A28" s="14" t="s">
        <v>34</v>
      </c>
      <c r="B28" s="16" t="s">
        <v>28</v>
      </c>
      <c r="C28" s="15" t="s">
        <v>35</v>
      </c>
      <c r="D28" s="21">
        <v>14956.19</v>
      </c>
      <c r="E28" s="20">
        <v>18144.68</v>
      </c>
      <c r="F28" s="21">
        <v>18849.27</v>
      </c>
      <c r="G28" s="21">
        <v>17602.43</v>
      </c>
      <c r="H28" s="21">
        <v>15564.29</v>
      </c>
      <c r="I28" s="18">
        <v>15254.76</v>
      </c>
      <c r="J28" s="18">
        <v>13251.77</v>
      </c>
      <c r="K28" s="23">
        <v>14333.34</v>
      </c>
      <c r="L28" s="23">
        <v>18824.689999999999</v>
      </c>
      <c r="M28" s="18">
        <v>20320.61</v>
      </c>
      <c r="N28" s="18"/>
      <c r="O28" s="18"/>
      <c r="P28" s="26">
        <f>SUM(D28:O28)</f>
        <v>167102.03000000003</v>
      </c>
      <c r="Q28" s="26">
        <f t="shared" si="3"/>
        <v>16710.203000000001</v>
      </c>
    </row>
    <row r="29" spans="1:17" x14ac:dyDescent="0.25">
      <c r="A29" s="14" t="s">
        <v>36</v>
      </c>
      <c r="B29" s="16" t="s">
        <v>21</v>
      </c>
      <c r="C29" s="15" t="s">
        <v>37</v>
      </c>
      <c r="D29" s="18">
        <v>55818.59</v>
      </c>
      <c r="E29" s="18">
        <v>59958.91</v>
      </c>
      <c r="F29" s="20">
        <v>62339.519999999997</v>
      </c>
      <c r="G29" s="18">
        <v>62593.99</v>
      </c>
      <c r="H29" s="18">
        <v>58660.82</v>
      </c>
      <c r="I29" s="18">
        <v>49838.21</v>
      </c>
      <c r="J29" s="18">
        <v>47366.09</v>
      </c>
      <c r="K29" s="23">
        <v>44840.79</v>
      </c>
      <c r="L29" s="23">
        <v>56014.43</v>
      </c>
      <c r="M29" s="18">
        <v>71802.289999999994</v>
      </c>
      <c r="N29" s="18"/>
      <c r="O29" s="18"/>
      <c r="P29" s="26">
        <f>SUM(D29:O29)</f>
        <v>569233.64</v>
      </c>
      <c r="Q29" s="26">
        <f t="shared" si="3"/>
        <v>56923.364000000001</v>
      </c>
    </row>
    <row r="30" spans="1:17" ht="15.75" customHeight="1" x14ac:dyDescent="0.25">
      <c r="A30" s="14" t="s">
        <v>38</v>
      </c>
      <c r="B30" s="16" t="s">
        <v>21</v>
      </c>
      <c r="C30" s="15" t="s">
        <v>39</v>
      </c>
      <c r="D30" s="18">
        <v>116043.41</v>
      </c>
      <c r="E30" s="19">
        <v>121632.51999999999</v>
      </c>
      <c r="F30" s="19">
        <v>128095.03</v>
      </c>
      <c r="G30" s="19">
        <v>135605.89000000001</v>
      </c>
      <c r="H30" s="19">
        <v>136722.93999999997</v>
      </c>
      <c r="I30" s="18">
        <v>130023.06</v>
      </c>
      <c r="J30" s="18">
        <v>138499.21</v>
      </c>
      <c r="K30" s="23">
        <v>155405.56</v>
      </c>
      <c r="L30" s="23">
        <v>159785.9</v>
      </c>
      <c r="M30" s="18">
        <v>148909.5</v>
      </c>
      <c r="N30" s="18"/>
      <c r="O30" s="18"/>
      <c r="P30" s="26">
        <f>SUM(D30:O30)</f>
        <v>1370723.0199999998</v>
      </c>
      <c r="Q30" s="26">
        <f>AVERAGE(D30:O30)</f>
        <v>137072.30199999997</v>
      </c>
    </row>
    <row r="31" spans="1:17" x14ac:dyDescent="0.25">
      <c r="A31" s="14" t="s">
        <v>40</v>
      </c>
      <c r="B31" s="16" t="s">
        <v>21</v>
      </c>
      <c r="C31" s="15" t="s">
        <v>41</v>
      </c>
      <c r="D31" s="18">
        <v>31654.400000000001</v>
      </c>
      <c r="E31" s="18">
        <v>37990.740000000005</v>
      </c>
      <c r="F31" s="18">
        <v>34795.339999999997</v>
      </c>
      <c r="G31" s="18">
        <v>37634.6</v>
      </c>
      <c r="H31" s="19">
        <v>35324.1</v>
      </c>
      <c r="I31" s="18">
        <v>34636.28</v>
      </c>
      <c r="J31" s="18">
        <v>36059.89</v>
      </c>
      <c r="K31" s="23">
        <v>32182.25</v>
      </c>
      <c r="L31" s="23">
        <v>34393.32</v>
      </c>
      <c r="M31" s="18">
        <v>3229.86</v>
      </c>
      <c r="N31" s="18"/>
      <c r="O31" s="18"/>
      <c r="P31" s="26">
        <f>SUM(D31:O31)</f>
        <v>317900.78000000003</v>
      </c>
      <c r="Q31" s="26">
        <f>AVERAGE(D31:O31)</f>
        <v>31790.078000000001</v>
      </c>
    </row>
    <row r="32" spans="1:17" x14ac:dyDescent="0.25">
      <c r="A32" s="27" t="s">
        <v>18</v>
      </c>
      <c r="B32" s="28"/>
      <c r="C32" s="29"/>
      <c r="D32" s="22">
        <f>SUM(D22:D31)</f>
        <v>883125.73</v>
      </c>
      <c r="E32" s="22">
        <f>SUM(E22:E31)</f>
        <v>918259.93000000017</v>
      </c>
      <c r="F32" s="22">
        <f>SUM(F22:F31)</f>
        <v>926444.94000000006</v>
      </c>
      <c r="G32" s="22">
        <f t="shared" ref="G32:O32" si="5">SUM(G22:G31)</f>
        <v>957817.4800000001</v>
      </c>
      <c r="H32" s="22">
        <f t="shared" si="5"/>
        <v>941417.65999999992</v>
      </c>
      <c r="I32" s="22">
        <f t="shared" si="5"/>
        <v>886754.8899999999</v>
      </c>
      <c r="J32" s="22">
        <f t="shared" si="5"/>
        <v>857510.79</v>
      </c>
      <c r="K32" s="22">
        <f t="shared" si="5"/>
        <v>867289.33000000007</v>
      </c>
      <c r="L32" s="22">
        <f t="shared" si="5"/>
        <v>949498.41</v>
      </c>
      <c r="M32" s="22">
        <f t="shared" si="5"/>
        <v>1004242.9199999999</v>
      </c>
      <c r="N32" s="22">
        <f t="shared" si="5"/>
        <v>0</v>
      </c>
      <c r="O32" s="22">
        <f t="shared" si="5"/>
        <v>0</v>
      </c>
      <c r="P32" s="22">
        <f>SUM(P22:P31)</f>
        <v>9192362.0799999982</v>
      </c>
      <c r="Q32" s="22">
        <f>SUM(Q22:Q31)</f>
        <v>919236.20799999963</v>
      </c>
    </row>
  </sheetData>
  <mergeCells count="9">
    <mergeCell ref="A17:C17"/>
    <mergeCell ref="D20:Q20"/>
    <mergeCell ref="A32:C32"/>
    <mergeCell ref="A1:Q1"/>
    <mergeCell ref="A2:B2"/>
    <mergeCell ref="C2:Q2"/>
    <mergeCell ref="A3:B3"/>
    <mergeCell ref="C3:Q3"/>
    <mergeCell ref="D5:Q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Energia 2025</vt:lpstr>
    </vt:vector>
  </TitlesOfParts>
  <Company>Presidência da República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Henrique Brito Sousa</dc:creator>
  <cp:lastModifiedBy>Thiago Botelho Pereira</cp:lastModifiedBy>
  <dcterms:created xsi:type="dcterms:W3CDTF">2023-11-21T13:15:50Z</dcterms:created>
  <dcterms:modified xsi:type="dcterms:W3CDTF">2025-10-23T15:34:35Z</dcterms:modified>
</cp:coreProperties>
</file>